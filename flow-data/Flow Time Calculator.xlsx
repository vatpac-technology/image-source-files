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Matt\Documents\GitHub\image-source-files\flow-data\"/>
    </mc:Choice>
  </mc:AlternateContent>
  <xr:revisionPtr revIDLastSave="0" documentId="13_ncr:1_{F2199A8E-6A76-4357-9D30-4FF44EA1CF72}" xr6:coauthVersionLast="47" xr6:coauthVersionMax="47" xr10:uidLastSave="{00000000-0000-0000-0000-000000000000}"/>
  <bookViews>
    <workbookView xWindow="19095" yWindow="0" windowWidth="19410" windowHeight="20985" activeTab="1" xr2:uid="{929881EF-ACD6-4EB1-B094-42C9C0A4B466}"/>
  </bookViews>
  <sheets>
    <sheet name="Feeder Fix Times" sheetId="8" r:id="rId1"/>
    <sheet name="Hold Exit Times" sheetId="9" r:id="rId2"/>
  </sheets>
  <definedNames>
    <definedName name="FFs">#REF!</definedName>
    <definedName name="SelectorDH8D">#REF!</definedName>
    <definedName name="SelectorFF">#REF!</definedName>
    <definedName name="SelectorMXCSR">#REF!</definedName>
    <definedName name="SelectorReducedSpeed">#REF!</definedName>
    <definedName name="SelectorRunway">#REF!</definedName>
    <definedName name="SelectorSTAR">#REF!</definedName>
    <definedName name="SelectorType">#REF!</definedName>
    <definedName name="STARs">#REF!</definedName>
    <definedName name="STARsJet">#REF!</definedName>
    <definedName name="STARsNonJet">#REF!</definedName>
    <definedName name="Times">#REF!</definedName>
    <definedName name="TimesJet">#REF!</definedName>
    <definedName name="TimesNonJet">#REF!</definedName>
    <definedName name="Types">#REF!</definedName>
  </definedNames>
  <calcPr calcId="191028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17" i="9" l="1"/>
  <c r="D18" i="9"/>
  <c r="I10" i="8"/>
  <c r="I9" i="8"/>
  <c r="I8" i="8"/>
  <c r="I6" i="8"/>
  <c r="I5" i="8"/>
  <c r="I4" i="8"/>
  <c r="I7" i="8"/>
  <c r="H4" i="8"/>
  <c r="H5" i="8"/>
  <c r="H10" i="8"/>
  <c r="H9" i="8"/>
  <c r="H8" i="8"/>
  <c r="H7" i="8"/>
  <c r="H6" i="8"/>
  <c r="H12" i="8" l="1"/>
  <c r="D17" i="8" s="1"/>
  <c r="I12" i="8"/>
  <c r="D18" i="8" s="1"/>
</calcChain>
</file>

<file path=xl/sharedStrings.xml><?xml version="1.0" encoding="utf-8"?>
<sst xmlns="http://schemas.openxmlformats.org/spreadsheetml/2006/main" count="27" uniqueCount="20">
  <si>
    <t>From (nm)</t>
  </si>
  <si>
    <t>To (nm)</t>
  </si>
  <si>
    <t>Non-Jet</t>
  </si>
  <si>
    <t>Edit the yellow cell only. The spreadsheet will output the time for each aircraft type in the coloured output boxes.</t>
  </si>
  <si>
    <t>Non-Jet (min):</t>
  </si>
  <si>
    <t>Speed Data (KTAS with Nil Wind)</t>
  </si>
  <si>
    <t>Calculated Times (min)</t>
  </si>
  <si>
    <t>Jet &amp; DH8D</t>
  </si>
  <si>
    <t>Jet &amp; DH8D (min):</t>
  </si>
  <si>
    <t>For distances greater than 50nm, reduced speed will incur a +1 minute correction for both jets &amp; non-jets. No correction is required at lesser distances.</t>
  </si>
  <si>
    <t>Aircraft</t>
  </si>
  <si>
    <t>Jet</t>
  </si>
  <si>
    <t xml:space="preserve"> </t>
  </si>
  <si>
    <t>Distance (nm):</t>
  </si>
  <si>
    <t>KIAS</t>
  </si>
  <si>
    <t>KTAS</t>
  </si>
  <si>
    <t>Reference Data</t>
  </si>
  <si>
    <t>FL140</t>
  </si>
  <si>
    <t>FL200</t>
  </si>
  <si>
    <t>Average Altitude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</si>
</sst>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5" tint="0.59999389629810485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0" borderId="1" xfId="0" applyBorder="1"/>
    <xf numFmtId="0" fontId="0" fillId="3" borderId="1" xfId="0" applyFill="1" applyBorder="1"/>
    <xf numFmtId="1" fontId="1" fillId="4" borderId="1" xfId="0" applyNumberFormat="1" applyFont="1" applyFill="1" applyBorder="1" applyAlignment="1">
      <alignment horizontal="center"/>
    </xf>
    <xf numFmtId="1" fontId="1" fillId="5" borderId="1" xfId="0" applyNumberFormat="1" applyFont="1" applyFill="1" applyBorder="1" applyAlignment="1">
      <alignment horizontal="center"/>
    </xf>
    <xf numFmtId="0" fontId="1" fillId="0" borderId="0" xfId="0" applyFont="1"/>
    <xf numFmtId="0" fontId="1" fillId="0" borderId="1" xfId="0" applyFont="1" applyBorder="1" applyAlignment="1">
      <alignment horizontal="center"/>
    </xf>
    <xf numFmtId="0" fontId="1" fillId="2" borderId="2" xfId="0" applyFont="1" applyFill="1" applyBorder="1" applyAlignment="1">
      <alignment horizontal="center"/>
    </xf>
    <xf numFmtId="0" fontId="1" fillId="2" borderId="3" xfId="0" applyFont="1" applyFill="1" applyBorder="1" applyAlignment="1">
      <alignment horizontal="center"/>
    </xf>
    <xf numFmtId="0" fontId="1" fillId="2" borderId="4" xfId="0" applyFont="1" applyFill="1" applyBorder="1" applyAlignment="1">
      <alignment horizontal="center"/>
    </xf>
    <xf numFmtId="0" fontId="1" fillId="5" borderId="2" xfId="0" applyFont="1" applyFill="1" applyBorder="1" applyAlignment="1">
      <alignment horizontal="center"/>
    </xf>
    <xf numFmtId="0" fontId="1" fillId="5" borderId="4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2" fillId="0" borderId="3" xfId="0" applyFont="1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1" fillId="4" borderId="2" xfId="0" applyFont="1" applyFill="1" applyBorder="1" applyAlignment="1">
      <alignment horizontal="center"/>
    </xf>
    <xf numFmtId="0" fontId="1" fillId="4" borderId="4" xfId="0" applyFont="1" applyFill="1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8C71BA-2C51-4F46-9A97-E0DF773728CA}">
  <dimension ref="B2:I25"/>
  <sheetViews>
    <sheetView workbookViewId="0">
      <selection activeCell="F25" sqref="F25"/>
    </sheetView>
  </sheetViews>
  <sheetFormatPr defaultRowHeight="15" x14ac:dyDescent="0.25"/>
  <cols>
    <col min="1" max="1" width="3.5703125" customWidth="1"/>
    <col min="2" max="2" width="11.42578125" customWidth="1"/>
    <col min="3" max="3" width="15.28515625" customWidth="1"/>
    <col min="4" max="4" width="17.28515625" customWidth="1"/>
    <col min="5" max="5" width="13.140625" customWidth="1"/>
    <col min="6" max="6" width="14.140625" customWidth="1"/>
    <col min="7" max="7" width="17.28515625" customWidth="1"/>
    <col min="8" max="8" width="25.7109375" customWidth="1"/>
    <col min="9" max="9" width="23.28515625" customWidth="1"/>
    <col min="10" max="10" width="18.5703125" customWidth="1"/>
    <col min="12" max="12" width="19.42578125" customWidth="1"/>
    <col min="17" max="18" width="12" bestFit="1" customWidth="1"/>
  </cols>
  <sheetData>
    <row r="2" spans="2:9" x14ac:dyDescent="0.25">
      <c r="B2" s="9" t="s">
        <v>5</v>
      </c>
      <c r="C2" s="10"/>
      <c r="D2" s="10"/>
      <c r="E2" s="11"/>
      <c r="H2" s="9" t="s">
        <v>6</v>
      </c>
      <c r="I2" s="11"/>
    </row>
    <row r="3" spans="2:9" x14ac:dyDescent="0.25">
      <c r="B3" s="1" t="s">
        <v>0</v>
      </c>
      <c r="C3" s="1" t="s">
        <v>1</v>
      </c>
      <c r="D3" s="1" t="s">
        <v>7</v>
      </c>
      <c r="E3" s="1" t="s">
        <v>2</v>
      </c>
      <c r="H3" s="1" t="s">
        <v>7</v>
      </c>
      <c r="I3" s="1" t="s">
        <v>2</v>
      </c>
    </row>
    <row r="4" spans="2:9" x14ac:dyDescent="0.25">
      <c r="B4" s="2">
        <v>999</v>
      </c>
      <c r="C4" s="2">
        <v>45</v>
      </c>
      <c r="D4" s="2">
        <v>330</v>
      </c>
      <c r="E4" s="2">
        <v>285</v>
      </c>
      <c r="H4" s="3">
        <f>IF(E14&gt;=C4,MIN(E14-C4,B4-C4)/D4,0)*60</f>
        <v>6.6727272727272728</v>
      </c>
      <c r="I4" s="3">
        <f>IF(E14&gt;=C4,MIN(E14-C4,B4-C4)/E4,0)*60</f>
        <v>7.726315789473686</v>
      </c>
    </row>
    <row r="5" spans="2:9" x14ac:dyDescent="0.25">
      <c r="B5" s="2">
        <v>45</v>
      </c>
      <c r="C5" s="2">
        <v>35</v>
      </c>
      <c r="D5" s="2">
        <v>320</v>
      </c>
      <c r="E5" s="2">
        <v>270</v>
      </c>
      <c r="H5" s="3">
        <f>IF(E14&gt;=C5,MIN(E14-C5,B5-C5)/D5,0)*60</f>
        <v>1.875</v>
      </c>
      <c r="I5" s="3">
        <f>IF(E14&gt;=C5,MIN(E14-C5,B5-C5)/E5,0)*60</f>
        <v>2.2222222222222223</v>
      </c>
    </row>
    <row r="6" spans="2:9" x14ac:dyDescent="0.25">
      <c r="B6" s="2">
        <v>35</v>
      </c>
      <c r="C6" s="2">
        <v>25</v>
      </c>
      <c r="D6" s="2">
        <v>285</v>
      </c>
      <c r="E6" s="2">
        <v>260</v>
      </c>
      <c r="H6" s="3">
        <f>IF(E14&gt;=C6,MIN(E14-C6,B6-C6)/D6,0)*60</f>
        <v>2.1052631578947367</v>
      </c>
      <c r="I6" s="3">
        <f>IF(E14&gt;=C6,MIN(E14-C6,B6-C6)/E6,0)*60</f>
        <v>2.3076923076923079</v>
      </c>
    </row>
    <row r="7" spans="2:9" x14ac:dyDescent="0.25">
      <c r="B7" s="2">
        <v>25</v>
      </c>
      <c r="C7" s="2">
        <v>15</v>
      </c>
      <c r="D7" s="2">
        <v>250</v>
      </c>
      <c r="E7" s="2">
        <v>230</v>
      </c>
      <c r="H7" s="3">
        <f>IF(E14&gt;=C7,MIN(E14-C7,B7-C7)/D7,0)*60</f>
        <v>2.4</v>
      </c>
      <c r="I7" s="3">
        <f>IF(E14&gt;=C7,MIN(E14-C7,B7-C7)/E7,0)*60</f>
        <v>2.6086956521739131</v>
      </c>
    </row>
    <row r="8" spans="2:9" x14ac:dyDescent="0.25">
      <c r="B8" s="2">
        <v>15</v>
      </c>
      <c r="C8" s="2">
        <v>6</v>
      </c>
      <c r="D8" s="2">
        <v>205</v>
      </c>
      <c r="E8" s="2">
        <v>180</v>
      </c>
      <c r="H8" s="3">
        <f>IF(E14&gt;=C8,MIN(E14-C8,B8-C8)/D8,0)*60</f>
        <v>2.6341463414634143</v>
      </c>
      <c r="I8" s="3">
        <f>IF(E14&gt;=C8,MIN(E14-C8,B8-C8)/E8,0)*60</f>
        <v>3</v>
      </c>
    </row>
    <row r="9" spans="2:9" x14ac:dyDescent="0.25">
      <c r="B9" s="2">
        <v>6</v>
      </c>
      <c r="C9" s="2">
        <v>2</v>
      </c>
      <c r="D9" s="2">
        <v>160</v>
      </c>
      <c r="E9" s="2">
        <v>150</v>
      </c>
      <c r="H9" s="3">
        <f>IF(E14&gt;=C9,MIN(E14-C9,B9-C9)/D9,0)*60</f>
        <v>1.5</v>
      </c>
      <c r="I9" s="3">
        <f>IF(E14&gt;=C9,MIN(E14-C9,B9-C9)/E9,0)*60</f>
        <v>1.6</v>
      </c>
    </row>
    <row r="10" spans="2:9" x14ac:dyDescent="0.25">
      <c r="B10" s="2">
        <v>2</v>
      </c>
      <c r="C10" s="2">
        <v>0</v>
      </c>
      <c r="D10" s="2">
        <v>140</v>
      </c>
      <c r="E10" s="2">
        <v>120</v>
      </c>
      <c r="H10" s="3">
        <f>IF(E14&gt;=C10,MIN(E14-C10,B10-C10)/D10,0)*60</f>
        <v>0.8571428571428571</v>
      </c>
      <c r="I10" s="3">
        <f>IF(E14&gt;=C10,MIN(E14-C10,B10-C10)/E10,0)*60</f>
        <v>1</v>
      </c>
    </row>
    <row r="12" spans="2:9" x14ac:dyDescent="0.25">
      <c r="H12" s="3">
        <f>SUM(H4:H10)</f>
        <v>18.044279629228281</v>
      </c>
      <c r="I12" s="3">
        <f>SUM(I4:I10)</f>
        <v>20.464925971562131</v>
      </c>
    </row>
    <row r="14" spans="2:9" x14ac:dyDescent="0.25">
      <c r="B14" s="19" t="s">
        <v>13</v>
      </c>
      <c r="C14" s="20"/>
      <c r="D14" s="21"/>
      <c r="E14" s="4">
        <v>81.7</v>
      </c>
    </row>
    <row r="17" spans="2:9" x14ac:dyDescent="0.25">
      <c r="B17" s="17" t="s">
        <v>8</v>
      </c>
      <c r="C17" s="18"/>
      <c r="D17" s="5">
        <f>H12</f>
        <v>18.044279629228281</v>
      </c>
    </row>
    <row r="18" spans="2:9" x14ac:dyDescent="0.25">
      <c r="B18" s="12" t="s">
        <v>4</v>
      </c>
      <c r="C18" s="13"/>
      <c r="D18" s="6">
        <f>I12</f>
        <v>20.464925971562131</v>
      </c>
    </row>
    <row r="23" spans="2:9" x14ac:dyDescent="0.25">
      <c r="B23" s="14" t="s">
        <v>3</v>
      </c>
      <c r="C23" s="15"/>
      <c r="D23" s="15"/>
      <c r="E23" s="15"/>
      <c r="F23" s="15"/>
      <c r="G23" s="15"/>
      <c r="H23" s="15"/>
      <c r="I23" s="16"/>
    </row>
    <row r="24" spans="2:9" x14ac:dyDescent="0.25">
      <c r="B24" s="8" t="s">
        <v>9</v>
      </c>
      <c r="C24" s="8"/>
      <c r="D24" s="8"/>
      <c r="E24" s="8"/>
      <c r="F24" s="8"/>
      <c r="G24" s="8"/>
      <c r="H24" s="8"/>
      <c r="I24" s="8"/>
    </row>
    <row r="25" spans="2:9" x14ac:dyDescent="0.25">
      <c r="B25" s="7"/>
      <c r="C25" s="7"/>
      <c r="D25" s="7"/>
      <c r="E25" s="7"/>
      <c r="F25" s="7"/>
      <c r="G25" s="7"/>
      <c r="H25" s="7"/>
      <c r="I25" s="7"/>
    </row>
  </sheetData>
  <mergeCells count="7">
    <mergeCell ref="B24:I24"/>
    <mergeCell ref="B2:E2"/>
    <mergeCell ref="H2:I2"/>
    <mergeCell ref="B18:C18"/>
    <mergeCell ref="B23:I23"/>
    <mergeCell ref="B17:C17"/>
    <mergeCell ref="B14:D14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8149F1-5C10-43DF-BEA2-CF4B0A1483C5}">
  <dimension ref="A2:I24"/>
  <sheetViews>
    <sheetView tabSelected="1" workbookViewId="0">
      <selection activeCell="B24" sqref="B24:I24"/>
    </sheetView>
  </sheetViews>
  <sheetFormatPr defaultRowHeight="15" x14ac:dyDescent="0.25"/>
  <cols>
    <col min="2" max="3" width="10.5703125" customWidth="1"/>
    <col min="4" max="4" width="17.85546875" customWidth="1"/>
    <col min="9" max="9" width="32.140625" customWidth="1"/>
  </cols>
  <sheetData>
    <row r="2" spans="1:5" x14ac:dyDescent="0.25">
      <c r="B2" s="9" t="s">
        <v>16</v>
      </c>
      <c r="C2" s="10"/>
      <c r="D2" s="10"/>
      <c r="E2" s="11"/>
    </row>
    <row r="3" spans="1:5" x14ac:dyDescent="0.25">
      <c r="B3" s="1" t="s">
        <v>10</v>
      </c>
      <c r="C3" s="1" t="s">
        <v>14</v>
      </c>
      <c r="D3" s="1" t="s">
        <v>19</v>
      </c>
      <c r="E3" s="1" t="s">
        <v>15</v>
      </c>
    </row>
    <row r="4" spans="1:5" x14ac:dyDescent="0.25">
      <c r="B4" s="2" t="s">
        <v>2</v>
      </c>
      <c r="C4" s="2">
        <v>210</v>
      </c>
      <c r="D4" s="2" t="s">
        <v>17</v>
      </c>
      <c r="E4" s="2">
        <v>260</v>
      </c>
    </row>
    <row r="5" spans="1:5" x14ac:dyDescent="0.25">
      <c r="B5" s="2" t="s">
        <v>11</v>
      </c>
      <c r="C5" s="2">
        <v>250</v>
      </c>
      <c r="D5" s="2" t="s">
        <v>18</v>
      </c>
      <c r="E5" s="2">
        <v>345</v>
      </c>
    </row>
    <row r="14" spans="1:5" x14ac:dyDescent="0.25">
      <c r="A14" t="s">
        <v>12</v>
      </c>
      <c r="B14" s="19" t="s">
        <v>13</v>
      </c>
      <c r="C14" s="20"/>
      <c r="D14" s="21"/>
      <c r="E14" s="4">
        <v>79.5</v>
      </c>
    </row>
    <row r="17" spans="2:9" x14ac:dyDescent="0.25">
      <c r="B17" s="12" t="s">
        <v>8</v>
      </c>
      <c r="C17" s="13"/>
      <c r="D17" s="6">
        <f>E14/E5*60</f>
        <v>13.826086956521738</v>
      </c>
    </row>
    <row r="18" spans="2:9" x14ac:dyDescent="0.25">
      <c r="B18" s="17" t="s">
        <v>4</v>
      </c>
      <c r="C18" s="18"/>
      <c r="D18" s="5">
        <f>E14/E4*60</f>
        <v>18.346153846153847</v>
      </c>
    </row>
    <row r="23" spans="2:9" x14ac:dyDescent="0.25">
      <c r="B23" s="14" t="s">
        <v>3</v>
      </c>
      <c r="C23" s="15"/>
      <c r="D23" s="15"/>
      <c r="E23" s="15"/>
      <c r="F23" s="15"/>
      <c r="G23" s="15"/>
      <c r="H23" s="15"/>
      <c r="I23" s="16"/>
    </row>
    <row r="24" spans="2:9" x14ac:dyDescent="0.25">
      <c r="B24" s="22"/>
      <c r="C24" s="22"/>
      <c r="D24" s="22"/>
      <c r="E24" s="22"/>
      <c r="F24" s="22"/>
      <c r="G24" s="22"/>
      <c r="H24" s="22"/>
      <c r="I24" s="22"/>
    </row>
  </sheetData>
  <mergeCells count="6">
    <mergeCell ref="B24:I24"/>
    <mergeCell ref="B2:E2"/>
    <mergeCell ref="B14:D14"/>
    <mergeCell ref="B18:C18"/>
    <mergeCell ref="B17:C17"/>
    <mergeCell ref="B23:I2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Feeder Fix Times</vt:lpstr>
      <vt:lpstr>Hold Exit Times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Alexander Diederich</dc:creator>
  <cp:lastModifiedBy>Matt K</cp:lastModifiedBy>
  <dcterms:created xsi:type="dcterms:W3CDTF">2024-04-20T03:35:08Z</dcterms:created>
  <dcterms:modified xsi:type="dcterms:W3CDTF">2026-05-01T04:50:29Z</dcterms:modified>
</cp:coreProperties>
</file>